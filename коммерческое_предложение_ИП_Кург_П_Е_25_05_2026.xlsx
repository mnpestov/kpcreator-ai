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hailpestov/Desktop/dev/ai-dev/kpcreatorai/"/>
    </mc:Choice>
  </mc:AlternateContent>
  <xr:revisionPtr revIDLastSave="0" documentId="13_ncr:1_{D1E46192-6296-7244-80BD-77BFE2A5BCE4}" xr6:coauthVersionLast="47" xr6:coauthVersionMax="47" xr10:uidLastSave="{00000000-0000-0000-0000-000000000000}"/>
  <bookViews>
    <workbookView xWindow="0" yWindow="600" windowWidth="29040" windowHeight="15720" xr2:uid="{24B9CB8A-EC4B-4A87-9529-DA6192E217A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F19" i="1"/>
  <c r="F20" i="1"/>
  <c r="F21" i="1"/>
  <c r="F14" i="1"/>
  <c r="F15" i="1"/>
  <c r="F16" i="1"/>
  <c r="F17" i="1"/>
  <c r="F18" i="1"/>
  <c r="F11" i="1"/>
  <c r="F12" i="1"/>
  <c r="F13" i="1"/>
</calcChain>
</file>

<file path=xl/sharedStrings.xml><?xml version="1.0" encoding="utf-8"?>
<sst xmlns="http://schemas.openxmlformats.org/spreadsheetml/2006/main" count="36" uniqueCount="36">
  <si>
    <t>И.П. Кург П.Е.</t>
  </si>
  <si>
    <t>Меню:</t>
  </si>
  <si>
    <t>Кол-во:</t>
  </si>
  <si>
    <t>Сумма в руб.:</t>
  </si>
  <si>
    <t>Цена за ед. в руб.</t>
  </si>
  <si>
    <r>
      <rPr>
        <b/>
        <sz val="11"/>
        <color theme="1"/>
        <rFont val="Calibri"/>
        <family val="2"/>
        <charset val="204"/>
        <scheme val="minor"/>
      </rPr>
      <t>Бургер BBQ/Спайси</t>
    </r>
    <r>
      <rPr>
        <sz val="11"/>
        <color theme="1"/>
        <rFont val="Calibri"/>
        <family val="2"/>
        <charset val="204"/>
        <scheme val="minor"/>
      </rPr>
      <t xml:space="preserve"> - 350 гр.
(булочка бриошь,говяжья котлета, сыр чеддер, лист салата, помидар, соленый огурец, красный лук, сырный соус, кетчуп, соус BBQ, халапеньо, лук фри)</t>
    </r>
  </si>
  <si>
    <t>ИТОГО:</t>
  </si>
  <si>
    <r>
      <rPr>
        <b/>
        <sz val="11"/>
        <color theme="1"/>
        <rFont val="Calibri"/>
        <family val="2"/>
        <charset val="204"/>
        <scheme val="minor"/>
      </rPr>
      <t>Пицца</t>
    </r>
    <r>
      <rPr>
        <sz val="11"/>
        <color theme="1"/>
        <rFont val="Calibri"/>
        <family val="2"/>
        <charset val="204"/>
        <scheme val="minor"/>
      </rPr>
      <t xml:space="preserve"> ( маргарита/пепперони) - 150 гр.</t>
    </r>
  </si>
  <si>
    <r>
      <rPr>
        <b/>
        <sz val="11"/>
        <color theme="1"/>
        <rFont val="Calibri"/>
        <family val="2"/>
        <charset val="204"/>
        <scheme val="minor"/>
      </rPr>
      <t>Лимонад</t>
    </r>
    <r>
      <rPr>
        <sz val="11"/>
        <color theme="1"/>
        <rFont val="Calibri"/>
        <family val="2"/>
        <charset val="204"/>
        <scheme val="minor"/>
      </rPr>
      <t xml:space="preserve"> - 350 мл.
(клубника-базилик / малина-мята)</t>
    </r>
  </si>
  <si>
    <r>
      <rPr>
        <b/>
        <sz val="11"/>
        <color theme="1"/>
        <rFont val="Calibri"/>
        <family val="2"/>
        <charset val="204"/>
        <scheme val="minor"/>
      </rPr>
      <t>Напитки</t>
    </r>
    <r>
      <rPr>
        <sz val="11"/>
        <color theme="1"/>
        <rFont val="Calibri"/>
        <family val="2"/>
        <charset val="204"/>
        <scheme val="minor"/>
      </rPr>
      <t xml:space="preserve"> - 250 мл
(эспрессо, американо, капучино, латте, чай)</t>
    </r>
  </si>
  <si>
    <r>
      <rPr>
        <b/>
        <sz val="11"/>
        <color theme="1"/>
        <rFont val="Calibri"/>
        <family val="2"/>
        <charset val="204"/>
        <scheme val="minor"/>
      </rPr>
      <t>Вода</t>
    </r>
    <r>
      <rPr>
        <sz val="11"/>
        <color theme="1"/>
        <rFont val="Calibri"/>
        <family val="2"/>
        <charset val="204"/>
        <scheme val="minor"/>
      </rPr>
      <t xml:space="preserve"> "святой источник" - 500 мл.
(газ/без газ)</t>
    </r>
  </si>
  <si>
    <t>Логистика в пределах МКАД+монтаж/демонтаж</t>
  </si>
  <si>
    <r>
      <rPr>
        <b/>
        <sz val="11"/>
        <color theme="1"/>
        <rFont val="Calibri"/>
        <family val="2"/>
        <charset val="204"/>
        <scheme val="minor"/>
      </rPr>
      <t>Шашлычки на шпажках</t>
    </r>
    <r>
      <rPr>
        <sz val="11"/>
        <color theme="1"/>
        <rFont val="Calibri"/>
        <family val="2"/>
        <charset val="204"/>
        <scheme val="minor"/>
      </rPr>
      <t xml:space="preserve"> - 150 гр.
(курица-терияки/ креветки / мини-кебаб / капрезе, моцарелла, помидар, базилик)</t>
    </r>
  </si>
  <si>
    <r>
      <rPr>
        <b/>
        <sz val="11"/>
        <color theme="1"/>
        <rFont val="Calibri"/>
        <family val="2"/>
        <charset val="204"/>
        <scheme val="minor"/>
      </rPr>
      <t>Сырные палочки</t>
    </r>
    <r>
      <rPr>
        <sz val="11"/>
        <color theme="1"/>
        <rFont val="Calibri"/>
        <family val="2"/>
        <charset val="204"/>
        <scheme val="minor"/>
      </rPr>
      <t xml:space="preserve"> - 55 гр.
(сыр моцарела в панировке)</t>
    </r>
  </si>
  <si>
    <r>
      <rPr>
        <b/>
        <sz val="11"/>
        <color theme="1"/>
        <rFont val="Calibri"/>
        <family val="2"/>
        <charset val="204"/>
        <scheme val="minor"/>
      </rPr>
      <t>Овощные палочки</t>
    </r>
    <r>
      <rPr>
        <sz val="11"/>
        <color theme="1"/>
        <rFont val="Calibri"/>
        <family val="2"/>
        <charset val="204"/>
        <scheme val="minor"/>
      </rPr>
      <t xml:space="preserve"> - 150 гр.
(огурец, сельдерей, морковь, перец) с допом (хумус, гуакамоле, сырный соус)</t>
    </r>
  </si>
  <si>
    <r>
      <rPr>
        <b/>
        <sz val="11"/>
        <color theme="1"/>
        <rFont val="Calibri"/>
        <family val="2"/>
        <charset val="204"/>
        <scheme val="minor"/>
      </rPr>
      <t>Фрукты на шпажках</t>
    </r>
    <r>
      <rPr>
        <sz val="11"/>
        <color theme="1"/>
        <rFont val="Calibri"/>
        <family val="2"/>
        <charset val="204"/>
        <scheme val="minor"/>
      </rPr>
      <t xml:space="preserve"> - 150 гр.
(ананас, виноград, киви, крубника)</t>
    </r>
  </si>
  <si>
    <r>
      <rPr>
        <b/>
        <sz val="11"/>
        <color theme="1"/>
        <rFont val="Calibri"/>
        <family val="2"/>
        <charset val="204"/>
        <scheme val="minor"/>
      </rPr>
      <t>Фудтрак красный</t>
    </r>
    <r>
      <rPr>
        <sz val="11"/>
        <color theme="1"/>
        <rFont val="Calibri"/>
        <family val="2"/>
        <charset val="204"/>
        <scheme val="minor"/>
      </rPr>
      <t xml:space="preserve"> (6000х2400х3200 мм ДхШхВ)</t>
    </r>
  </si>
  <si>
    <r>
      <rPr>
        <b/>
        <sz val="11"/>
        <color theme="1"/>
        <rFont val="Calibri"/>
        <family val="2"/>
        <charset val="204"/>
        <scheme val="minor"/>
      </rPr>
      <t>Персонал</t>
    </r>
    <r>
      <rPr>
        <sz val="11"/>
        <color theme="1"/>
        <rFont val="Calibri"/>
        <family val="2"/>
        <charset val="204"/>
        <scheme val="minor"/>
      </rPr>
      <t xml:space="preserve"> (до 8 часов)</t>
    </r>
  </si>
  <si>
    <r>
      <rPr>
        <b/>
        <sz val="11"/>
        <color theme="1"/>
        <rFont val="Calibri"/>
        <family val="2"/>
        <charset val="204"/>
        <scheme val="minor"/>
      </rPr>
      <t xml:space="preserve">Коктельные столы/стрейч черный </t>
    </r>
    <r>
      <rPr>
        <sz val="11"/>
        <color theme="1"/>
        <rFont val="Calibri"/>
        <family val="2"/>
        <charset val="204"/>
        <scheme val="minor"/>
      </rPr>
      <t>(90х110 см Ш/В)</t>
    </r>
  </si>
  <si>
    <t>Выход на персону: (еда / напиток  - 971 гр / 1000 мл.</t>
  </si>
  <si>
    <t>Еда - 884 000 руб.</t>
  </si>
  <si>
    <t>Напитки - 276 000 руб.</t>
  </si>
  <si>
    <t>Организация кейтеринга - 219 000 руб.</t>
  </si>
  <si>
    <t>Коммерческое предложение {formData.kpNumber} от {formData.kpDate} г.</t>
  </si>
  <si>
    <t>Дата: {formData.startEvent} - {formData.endEvent}. Время: {formData.startTimeStartEvent}-{formData.endTimeStartEvent}</t>
  </si>
  <si>
    <t>По адресу: {formData.eventPlace}</t>
  </si>
  <si>
    <t>{formData.listTitle}</t>
  </si>
  <si>
    <t>Логистика + монтаж/демонтаж - {formData.logisticsCost} руб.</t>
  </si>
  <si>
    <r>
      <rPr>
        <b/>
        <sz val="11"/>
        <color theme="1"/>
        <rFont val="Calibri"/>
        <family val="2"/>
        <charset val="204"/>
        <scheme val="minor"/>
      </rPr>
      <t>{product}</t>
    </r>
    <r>
      <rPr>
        <sz val="11"/>
        <color theme="1"/>
        <rFont val="Calibri"/>
        <family val="2"/>
        <charset val="204"/>
        <scheme val="minor"/>
      </rPr>
      <t xml:space="preserve"> - {productWeightWithMeasure}
{composition}</t>
    </r>
  </si>
  <si>
    <t>{countOfProduct}</t>
  </si>
  <si>
    <t>{priceOfProduct}</t>
  </si>
  <si>
    <t>{totalCostOfProduct}</t>
  </si>
  <si>
    <t>{formData.logisticsCost}</t>
  </si>
  <si>
    <t>{formData.totalCost}</t>
  </si>
  <si>
    <t>Итого: {finalTotalAmount} руб.
Итого по безналичному расчету: {finalTotalAmount * 1.07} руб.</t>
  </si>
  <si>
    <t>С уважением, {user.name}
{user.job}
{user.email}
{user.tel}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</si>
</sst>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0" fillId="4" borderId="1" xfId="0" applyFill="1" applyBorder="1"/>
    <xf numFmtId="0" fontId="0" fillId="2" borderId="2" xfId="0" applyFill="1" applyBorder="1"/>
    <xf numFmtId="0" fontId="1" fillId="2" borderId="3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wrapText="1"/>
    </xf>
    <xf numFmtId="0" fontId="0" fillId="2" borderId="6" xfId="0" applyFill="1" applyBorder="1" applyAlignment="1">
      <alignment wrapText="1"/>
    </xf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1" fillId="3" borderId="10" xfId="0" applyFont="1" applyFill="1" applyBorder="1" applyAlignment="1">
      <alignment wrapText="1"/>
    </xf>
    <xf numFmtId="0" fontId="1" fillId="3" borderId="11" xfId="0" applyFont="1" applyFill="1" applyBorder="1" applyAlignment="1">
      <alignment wrapText="1"/>
    </xf>
    <xf numFmtId="0" fontId="1" fillId="3" borderId="12" xfId="0" applyFont="1" applyFill="1" applyBorder="1" applyAlignment="1">
      <alignment wrapText="1"/>
    </xf>
    <xf numFmtId="0" fontId="0" fillId="4" borderId="13" xfId="0" applyFill="1" applyBorder="1" applyAlignment="1">
      <alignment wrapText="1"/>
    </xf>
    <xf numFmtId="3" fontId="0" fillId="4" borderId="14" xfId="0" applyNumberFormat="1" applyFill="1" applyBorder="1"/>
    <xf numFmtId="0" fontId="0" fillId="4" borderId="13" xfId="0" applyFill="1" applyBorder="1"/>
    <xf numFmtId="0" fontId="1" fillId="4" borderId="13" xfId="0" applyFont="1" applyFill="1" applyBorder="1" applyAlignment="1">
      <alignment wrapText="1"/>
    </xf>
    <xf numFmtId="0" fontId="0" fillId="4" borderId="7" xfId="0" applyFill="1" applyBorder="1"/>
    <xf numFmtId="0" fontId="0" fillId="4" borderId="8" xfId="0" applyFill="1" applyBorder="1"/>
    <xf numFmtId="0" fontId="1" fillId="4" borderId="8" xfId="0" applyFont="1" applyFill="1" applyBorder="1"/>
    <xf numFmtId="3" fontId="0" fillId="4" borderId="15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50EF4-D24D-482E-A8E7-774E38793CA5}">
  <dimension ref="B2:G34"/>
  <sheetViews>
    <sheetView tabSelected="1" workbookViewId="0">
      <selection activeCell="C35" sqref="C35"/>
    </sheetView>
  </sheetViews>
  <sheetFormatPr baseColWidth="10" defaultColWidth="8.83203125" defaultRowHeight="15" x14ac:dyDescent="0.2"/>
  <cols>
    <col min="2" max="2" width="3" customWidth="1"/>
    <col min="3" max="3" width="98.6640625" customWidth="1"/>
    <col min="7" max="7" width="3.1640625" customWidth="1"/>
  </cols>
  <sheetData>
    <row r="2" spans="2:7" x14ac:dyDescent="0.2">
      <c r="C2" s="3" t="s">
        <v>0</v>
      </c>
    </row>
    <row r="3" spans="2:7" x14ac:dyDescent="0.2">
      <c r="C3" s="3" t="s">
        <v>23</v>
      </c>
    </row>
    <row r="4" spans="2:7" x14ac:dyDescent="0.2">
      <c r="C4" s="3" t="s">
        <v>26</v>
      </c>
    </row>
    <row r="5" spans="2:7" x14ac:dyDescent="0.2">
      <c r="C5" s="3" t="s">
        <v>25</v>
      </c>
    </row>
    <row r="6" spans="2:7" x14ac:dyDescent="0.2">
      <c r="C6" s="3" t="s">
        <v>24</v>
      </c>
    </row>
    <row r="7" spans="2:7" ht="16" thickBot="1" x14ac:dyDescent="0.25">
      <c r="C7" s="3"/>
    </row>
    <row r="8" spans="2:7" ht="16" thickBot="1" x14ac:dyDescent="0.25">
      <c r="B8" s="5"/>
      <c r="C8" s="6"/>
      <c r="D8" s="7"/>
      <c r="E8" s="7"/>
      <c r="F8" s="7"/>
      <c r="G8" s="8"/>
    </row>
    <row r="9" spans="2:7" s="1" customFormat="1" ht="32" x14ac:dyDescent="0.2">
      <c r="B9" s="9"/>
      <c r="C9" s="16" t="s">
        <v>1</v>
      </c>
      <c r="D9" s="17" t="s">
        <v>2</v>
      </c>
      <c r="E9" s="17" t="s">
        <v>4</v>
      </c>
      <c r="F9" s="18" t="s">
        <v>3</v>
      </c>
      <c r="G9" s="10"/>
    </row>
    <row r="10" spans="2:7" ht="31.5" customHeight="1" x14ac:dyDescent="0.2">
      <c r="B10" s="11"/>
      <c r="C10" s="19" t="s">
        <v>28</v>
      </c>
      <c r="D10" s="4" t="s">
        <v>29</v>
      </c>
      <c r="E10" s="4" t="s">
        <v>30</v>
      </c>
      <c r="F10" s="20" t="s">
        <v>31</v>
      </c>
      <c r="G10" s="12"/>
    </row>
    <row r="11" spans="2:7" ht="48" x14ac:dyDescent="0.2">
      <c r="B11" s="11"/>
      <c r="C11" s="19" t="s">
        <v>5</v>
      </c>
      <c r="D11" s="4">
        <v>300</v>
      </c>
      <c r="E11" s="4">
        <v>470</v>
      </c>
      <c r="F11" s="20">
        <f t="shared" ref="F10:F23" si="0">SUM(D11*E11)</f>
        <v>141000</v>
      </c>
      <c r="G11" s="12"/>
    </row>
    <row r="12" spans="2:7" x14ac:dyDescent="0.2">
      <c r="B12" s="11"/>
      <c r="C12" s="21" t="s">
        <v>7</v>
      </c>
      <c r="D12" s="4">
        <v>300</v>
      </c>
      <c r="E12" s="4">
        <v>210</v>
      </c>
      <c r="F12" s="20">
        <f t="shared" si="0"/>
        <v>63000</v>
      </c>
      <c r="G12" s="12"/>
    </row>
    <row r="13" spans="2:7" ht="32" x14ac:dyDescent="0.2">
      <c r="B13" s="11"/>
      <c r="C13" s="19" t="s">
        <v>12</v>
      </c>
      <c r="D13" s="4">
        <v>500</v>
      </c>
      <c r="E13" s="4">
        <v>350</v>
      </c>
      <c r="F13" s="20">
        <f>SUM(D13*E13)</f>
        <v>175000</v>
      </c>
      <c r="G13" s="12"/>
    </row>
    <row r="14" spans="2:7" ht="32" x14ac:dyDescent="0.2">
      <c r="B14" s="11"/>
      <c r="C14" s="19" t="s">
        <v>13</v>
      </c>
      <c r="D14" s="4">
        <v>500</v>
      </c>
      <c r="E14" s="4">
        <v>90</v>
      </c>
      <c r="F14" s="20">
        <f t="shared" si="0"/>
        <v>45000</v>
      </c>
      <c r="G14" s="12"/>
    </row>
    <row r="15" spans="2:7" ht="32" x14ac:dyDescent="0.2">
      <c r="B15" s="11"/>
      <c r="C15" s="19" t="s">
        <v>14</v>
      </c>
      <c r="D15" s="4">
        <v>500</v>
      </c>
      <c r="E15" s="4">
        <v>250</v>
      </c>
      <c r="F15" s="20">
        <f t="shared" si="0"/>
        <v>125000</v>
      </c>
      <c r="G15" s="12"/>
    </row>
    <row r="16" spans="2:7" ht="32" x14ac:dyDescent="0.2">
      <c r="B16" s="11"/>
      <c r="C16" s="19" t="s">
        <v>15</v>
      </c>
      <c r="D16" s="4">
        <v>500</v>
      </c>
      <c r="E16" s="4">
        <v>250</v>
      </c>
      <c r="F16" s="20">
        <f t="shared" si="0"/>
        <v>125000</v>
      </c>
      <c r="G16" s="12"/>
    </row>
    <row r="17" spans="2:7" ht="32" x14ac:dyDescent="0.2">
      <c r="B17" s="11"/>
      <c r="C17" s="19" t="s">
        <v>8</v>
      </c>
      <c r="D17" s="4">
        <v>500</v>
      </c>
      <c r="E17" s="4">
        <v>250</v>
      </c>
      <c r="F17" s="20">
        <f t="shared" si="0"/>
        <v>125000</v>
      </c>
      <c r="G17" s="12"/>
    </row>
    <row r="18" spans="2:7" ht="32" x14ac:dyDescent="0.2">
      <c r="B18" s="11"/>
      <c r="C18" s="19" t="s">
        <v>9</v>
      </c>
      <c r="D18" s="4">
        <v>500</v>
      </c>
      <c r="E18" s="4">
        <v>195</v>
      </c>
      <c r="F18" s="20">
        <f t="shared" si="0"/>
        <v>97500</v>
      </c>
      <c r="G18" s="12"/>
    </row>
    <row r="19" spans="2:7" ht="32" x14ac:dyDescent="0.2">
      <c r="B19" s="11"/>
      <c r="C19" s="19" t="s">
        <v>10</v>
      </c>
      <c r="D19" s="4">
        <v>600</v>
      </c>
      <c r="E19" s="4">
        <v>90</v>
      </c>
      <c r="F19" s="20">
        <f t="shared" si="0"/>
        <v>54000</v>
      </c>
      <c r="G19" s="12"/>
    </row>
    <row r="20" spans="2:7" ht="16" x14ac:dyDescent="0.2">
      <c r="B20" s="11"/>
      <c r="C20" s="19" t="s">
        <v>16</v>
      </c>
      <c r="D20" s="4">
        <v>3</v>
      </c>
      <c r="E20" s="4">
        <v>22000</v>
      </c>
      <c r="F20" s="20">
        <f t="shared" si="0"/>
        <v>66000</v>
      </c>
      <c r="G20" s="12"/>
    </row>
    <row r="21" spans="2:7" ht="16" x14ac:dyDescent="0.2">
      <c r="B21" s="11"/>
      <c r="C21" s="19" t="s">
        <v>18</v>
      </c>
      <c r="D21" s="4">
        <v>30</v>
      </c>
      <c r="E21" s="4">
        <v>2100</v>
      </c>
      <c r="F21" s="20">
        <f t="shared" si="0"/>
        <v>63000</v>
      </c>
      <c r="G21" s="12"/>
    </row>
    <row r="22" spans="2:7" ht="16" x14ac:dyDescent="0.2">
      <c r="B22" s="11"/>
      <c r="C22" s="19" t="s">
        <v>17</v>
      </c>
      <c r="D22" s="4">
        <v>15</v>
      </c>
      <c r="E22" s="4">
        <v>6000</v>
      </c>
      <c r="F22" s="20">
        <f t="shared" ref="F22" si="1">SUM(D22*E22)</f>
        <v>90000</v>
      </c>
      <c r="G22" s="12"/>
    </row>
    <row r="23" spans="2:7" ht="16" x14ac:dyDescent="0.2">
      <c r="B23" s="11"/>
      <c r="C23" s="22" t="s">
        <v>11</v>
      </c>
      <c r="D23" s="4">
        <v>1</v>
      </c>
      <c r="E23" s="4">
        <v>36000</v>
      </c>
      <c r="F23" s="20" t="s">
        <v>32</v>
      </c>
      <c r="G23" s="12"/>
    </row>
    <row r="24" spans="2:7" ht="16" thickBot="1" x14ac:dyDescent="0.25">
      <c r="B24" s="11"/>
      <c r="C24" s="23"/>
      <c r="D24" s="24"/>
      <c r="E24" s="25" t="s">
        <v>6</v>
      </c>
      <c r="F24" s="26" t="s">
        <v>33</v>
      </c>
      <c r="G24" s="12"/>
    </row>
    <row r="25" spans="2:7" ht="16" thickBot="1" x14ac:dyDescent="0.25">
      <c r="B25" s="13"/>
      <c r="C25" s="14"/>
      <c r="D25" s="14"/>
      <c r="E25" s="14"/>
      <c r="F25" s="14"/>
      <c r="G25" s="15"/>
    </row>
    <row r="27" spans="2:7" x14ac:dyDescent="0.2">
      <c r="C27" s="3" t="s">
        <v>19</v>
      </c>
    </row>
    <row r="28" spans="2:7" x14ac:dyDescent="0.2">
      <c r="C28" t="s">
        <v>20</v>
      </c>
    </row>
    <row r="29" spans="2:7" x14ac:dyDescent="0.2">
      <c r="C29" t="s">
        <v>21</v>
      </c>
    </row>
    <row r="30" spans="2:7" x14ac:dyDescent="0.2">
      <c r="C30" t="s">
        <v>22</v>
      </c>
    </row>
    <row r="31" spans="2:7" x14ac:dyDescent="0.2">
      <c r="C31" t="s">
        <v>27</v>
      </c>
    </row>
    <row r="32" spans="2:7" ht="32" x14ac:dyDescent="0.2">
      <c r="C32" s="1" t="s">
        <v>34</v>
      </c>
    </row>
    <row r="34" spans="3:3" ht="64" x14ac:dyDescent="0.2">
      <c r="C34" s="2" t="s">
        <v>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kurgpavel@gmail.com</dc:creator>
  <cp:lastModifiedBy>c2961</cp:lastModifiedBy>
  <dcterms:created xsi:type="dcterms:W3CDTF">2026-05-25T17:05:40Z</dcterms:created>
  <dcterms:modified xsi:type="dcterms:W3CDTF">2026-06-04T09:43:41Z</dcterms:modified>
</cp:coreProperties>
</file>